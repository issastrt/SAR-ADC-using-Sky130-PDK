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<sst xmlns="http://schemas.openxmlformats.org/spreadsheetml/2006/main" count="17" uniqueCount="17">
  <si>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Cace run 'flow.log' file</t>
  </si>
  <si>
    <t>*the python code calculates the offset error using the formula:</t>
  </si>
  <si>
    <t>(Vmeas - Videal)/LSB</t>
  </si>
  <si>
    <t>example calculation (based on data from log file):</t>
  </si>
  <si>
    <t>Vmeas</t>
  </si>
  <si>
    <t>Videal</t>
  </si>
  <si>
    <t>LSB</t>
  </si>
  <si>
    <t>Offset Error</t>
  </si>
  <si>
    <t>offset error</t>
  </si>
  <si>
    <t>corner</t>
  </si>
  <si>
    <t>pre-layout</t>
  </si>
  <si>
    <t>post-layout</t>
  </si>
  <si>
    <t>tt</t>
  </si>
  <si>
    <t>ff</t>
  </si>
  <si>
    <t>ss</t>
  </si>
  <si>
    <t>sf</t>
  </si>
  <si>
    <t>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</si>
</sst>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1F2328"/>
      <name val="Arial"/>
    </font>
    <font/>
    <font>
      <sz val="9.0"/>
      <color rgb="FF1F2328"/>
      <name val="-apple-system"/>
    </font>
    <font>
      <sz val="9.0"/>
      <color rgb="FF1F2328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D1D9E0"/>
      </left>
      <top style="medium">
        <color rgb="FF000000"/>
      </top>
    </border>
    <border>
      <left style="thin">
        <color rgb="FFD1D9E0"/>
      </left>
      <right style="medium">
        <color rgb="FF000000"/>
      </right>
      <top style="medium">
        <color rgb="FF000000"/>
      </top>
    </border>
    <border>
      <left style="thin">
        <color rgb="FFD1D9E0"/>
      </left>
    </border>
    <border>
      <left style="medium">
        <color rgb="FF000000"/>
      </left>
    </border>
    <border>
      <left style="thin">
        <color rgb="FFD1D9E0"/>
      </left>
      <right style="medium">
        <color rgb="FF000000"/>
      </right>
    </border>
    <border>
      <top style="thin">
        <color rgb="FFD1D9E0"/>
      </top>
    </border>
    <border>
      <left style="medium">
        <color rgb="FF000000"/>
      </left>
      <top style="thin">
        <color rgb="FFD1D9E0"/>
      </top>
      <bottom style="medium">
        <color rgb="FF000000"/>
      </bottom>
    </border>
    <border>
      <left style="thin">
        <color rgb="FFD1D9E0"/>
      </left>
      <top style="thin">
        <color rgb="FFD1D9E0"/>
      </top>
      <bottom style="medium">
        <color rgb="FF000000"/>
      </bottom>
    </border>
    <border>
      <left style="thin">
        <color rgb="FFD1D9E0"/>
      </left>
      <right style="medium">
        <color rgb="FF000000"/>
      </right>
      <top style="thin">
        <color rgb="FFD1D9E0"/>
      </top>
      <bottom style="medium">
        <color rgb="FF000000"/>
      </bottom>
    </border>
    <border>
      <left style="thin">
        <color rgb="FFD1D9E0"/>
      </left>
      <top style="thin">
        <color rgb="FFD1D9E0"/>
      </top>
    </border>
    <border>
      <left style="medium">
        <color rgb="FF000000"/>
      </left>
      <top style="thin">
        <color rgb="FFD1D9E0"/>
      </top>
    </border>
    <border>
      <left style="thin">
        <color rgb="FFD1D9E0"/>
      </left>
      <right style="medium">
        <color rgb="FF000000"/>
      </right>
      <top style="thin">
        <color rgb="FFD1D9E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0" fontId="3" numFmtId="0" xfId="0" applyAlignment="1" applyBorder="1" applyFont="1">
      <alignment horizontal="left" readingOrder="0" shrinkToFit="0" wrapText="0"/>
    </xf>
    <xf borderId="7" fillId="0" fontId="3" numFmtId="0" xfId="0" applyAlignment="1" applyBorder="1" applyFont="1">
      <alignment horizontal="left" readingOrder="0" shrinkToFit="0" wrapText="0"/>
    </xf>
    <xf borderId="8" fillId="0" fontId="3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readingOrder="0" shrinkToFit="0" wrapText="0"/>
    </xf>
    <xf borderId="10" fillId="0" fontId="3" numFmtId="0" xfId="0" applyAlignment="1" applyBorder="1" applyFont="1">
      <alignment readingOrder="0" shrinkToFit="0" wrapText="0"/>
    </xf>
    <xf borderId="11" fillId="0" fontId="4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readingOrder="0" shrinkToFit="0" wrapText="0"/>
    </xf>
    <xf borderId="13" fillId="0" fontId="3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16" fillId="0" fontId="3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readingOrder="0" shrinkToFit="0" wrapText="0"/>
    </xf>
    <xf borderId="17" fillId="0" fontId="2" numFmtId="0" xfId="0" applyBorder="1" applyFont="1"/>
    <xf borderId="18" fillId="0" fontId="2" numFmtId="0" xfId="0" applyBorder="1" applyFont="1"/>
    <xf borderId="19" fillId="0" fontId="4" numFmtId="0" xfId="0" applyAlignment="1" applyBorder="1" applyFont="1">
      <alignment readingOrder="0" shrinkToFit="0" wrapText="0"/>
    </xf>
    <xf borderId="20" fillId="0" fontId="4" numFmtId="0" xfId="0" applyAlignment="1" applyBorder="1" applyFont="1">
      <alignment readingOrder="0" shrinkToFit="0" wrapText="0"/>
    </xf>
    <xf borderId="21" fillId="0" fontId="4" numFmtId="0" xfId="0" applyAlignment="1" applyBorder="1" applyFont="1">
      <alignment readingOrder="0" shrinkToFit="0" wrapText="0"/>
    </xf>
    <xf borderId="22" fillId="0" fontId="4" numFmtId="0" xfId="0" applyAlignment="1" applyBorder="1" applyFont="1">
      <alignment readingOrder="0" shrinkToFit="0" wrapText="0"/>
    </xf>
    <xf borderId="23" fillId="0" fontId="4" numFmtId="0" xfId="0" applyAlignment="1" applyBorder="1" applyFont="1">
      <alignment readingOrder="0" shrinkToFit="0" wrapText="0"/>
    </xf>
    <xf borderId="23" fillId="0" fontId="4" numFmtId="11" xfId="0" applyAlignment="1" applyBorder="1" applyFont="1" applyNumberFormat="1">
      <alignment readingOrder="0" shrinkToFit="0" wrapText="0"/>
    </xf>
    <xf borderId="24" fillId="0" fontId="3" numFmtId="11" xfId="0" applyAlignment="1" applyBorder="1" applyFont="1" applyNumberFormat="1">
      <alignment readingOrder="0" shrinkToFit="0" wrapText="0"/>
    </xf>
    <xf borderId="8" fillId="0" fontId="5" numFmtId="0" xfId="0" applyBorder="1" applyFont="1"/>
    <xf borderId="25" fillId="0" fontId="5" numFmtId="0" xfId="0" applyBorder="1" applyFont="1"/>
    <xf borderId="0" fillId="0" fontId="5" numFmtId="0" xfId="0" applyAlignment="1" applyFont="1">
      <alignment readingOrder="0"/>
    </xf>
    <xf borderId="26" fillId="0" fontId="5" numFmtId="0" xfId="0" applyBorder="1" applyFont="1"/>
    <xf borderId="27" fillId="0" fontId="5" numFmtId="0" xfId="0" applyAlignment="1" applyBorder="1" applyFont="1">
      <alignment horizontal="center" readingOrder="0"/>
    </xf>
    <xf borderId="28" fillId="0" fontId="2" numFmtId="0" xfId="0" applyBorder="1" applyFont="1"/>
    <xf borderId="8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25" fillId="0" fontId="5" numFmtId="0" xfId="0" applyAlignment="1" applyBorder="1" applyFont="1">
      <alignment horizontal="center" readingOrder="0"/>
    </xf>
    <xf borderId="0" fillId="2" fontId="3" numFmtId="0" xfId="0" applyAlignment="1" applyFill="1" applyFont="1">
      <alignment readingOrder="0" shrinkToFit="0" wrapText="0"/>
    </xf>
    <xf borderId="25" fillId="2" fontId="3" numFmtId="0" xfId="0" applyAlignment="1" applyBorder="1" applyFont="1">
      <alignment readingOrder="0" shrinkToFit="0" wrapText="0"/>
    </xf>
    <xf borderId="16" fillId="0" fontId="4" numFmtId="0" xfId="0" applyAlignment="1" applyBorder="1" applyFont="1">
      <alignment readingOrder="0" shrinkToFit="0" wrapText="0"/>
    </xf>
    <xf borderId="29" fillId="0" fontId="5" numFmtId="0" xfId="0" applyAlignment="1" applyBorder="1" applyFont="1">
      <alignment readingOrder="0"/>
    </xf>
    <xf borderId="29" fillId="0" fontId="5" numFmtId="0" xfId="0" applyBorder="1" applyFont="1"/>
    <xf borderId="30" fillId="0" fontId="5" numFmtId="0" xfId="0" applyBorder="1" applyFont="1"/>
    <xf borderId="3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</xdr:row>
      <xdr:rowOff>47625</xdr:rowOff>
    </xdr:from>
    <xdr:ext cx="4076700" cy="416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  <col customWidth="1" min="10" max="12" width="17.13"/>
  </cols>
  <sheetData>
    <row r="2">
      <c r="B2" s="1" t="s">
        <v>0</v>
      </c>
      <c r="C2" s="2"/>
      <c r="D2" s="2"/>
      <c r="E2" s="3"/>
      <c r="F2" s="4"/>
      <c r="G2" s="5" t="s">
        <v>1</v>
      </c>
      <c r="H2" s="6"/>
      <c r="I2" s="6"/>
      <c r="J2" s="7"/>
      <c r="K2" s="4"/>
      <c r="L2" s="8"/>
      <c r="M2" s="8"/>
      <c r="N2" s="8"/>
      <c r="O2" s="8"/>
      <c r="P2" s="8"/>
    </row>
    <row r="3">
      <c r="B3" s="9"/>
      <c r="C3" s="10"/>
      <c r="D3" s="10"/>
      <c r="E3" s="11"/>
      <c r="F3" s="12"/>
      <c r="G3" s="13" t="s">
        <v>2</v>
      </c>
      <c r="H3" s="14"/>
      <c r="I3" s="14"/>
      <c r="J3" s="15"/>
      <c r="K3" s="12"/>
      <c r="L3" s="16"/>
      <c r="M3" s="16"/>
      <c r="N3" s="16"/>
      <c r="O3" s="16"/>
      <c r="P3" s="16"/>
    </row>
    <row r="4">
      <c r="B4" s="17"/>
      <c r="C4" s="16"/>
      <c r="D4" s="16"/>
      <c r="E4" s="18"/>
      <c r="F4" s="12"/>
      <c r="G4" s="10"/>
      <c r="H4" s="10"/>
      <c r="I4" s="10"/>
      <c r="J4" s="10"/>
      <c r="K4" s="16"/>
      <c r="L4" s="16"/>
      <c r="M4" s="16"/>
      <c r="N4" s="16"/>
      <c r="O4" s="16"/>
      <c r="P4" s="16"/>
    </row>
    <row r="5">
      <c r="B5" s="17"/>
      <c r="C5" s="16"/>
      <c r="D5" s="16"/>
      <c r="E5" s="18"/>
      <c r="F5" s="12"/>
      <c r="G5" s="19" t="s">
        <v>3</v>
      </c>
      <c r="H5" s="20"/>
      <c r="I5" s="20"/>
      <c r="J5" s="21"/>
      <c r="K5" s="12"/>
      <c r="L5" s="16"/>
      <c r="M5" s="16"/>
      <c r="N5" s="16"/>
      <c r="O5" s="16"/>
      <c r="P5" s="16"/>
    </row>
    <row r="6">
      <c r="B6" s="17"/>
      <c r="C6" s="16"/>
      <c r="D6" s="16"/>
      <c r="E6" s="18"/>
      <c r="F6" s="12"/>
      <c r="G6" s="22" t="s">
        <v>4</v>
      </c>
      <c r="H6" s="23" t="s">
        <v>5</v>
      </c>
      <c r="I6" s="23" t="s">
        <v>6</v>
      </c>
      <c r="J6" s="24" t="s">
        <v>7</v>
      </c>
      <c r="K6" s="12"/>
      <c r="L6" s="16"/>
      <c r="M6" s="16"/>
      <c r="N6" s="16"/>
      <c r="O6" s="16"/>
      <c r="P6" s="16"/>
    </row>
    <row r="7">
      <c r="B7" s="17"/>
      <c r="C7" s="16"/>
      <c r="D7" s="16"/>
      <c r="E7" s="18"/>
      <c r="F7" s="12"/>
      <c r="G7" s="25">
        <v>0.008</v>
      </c>
      <c r="H7" s="26">
        <v>0.003515625</v>
      </c>
      <c r="I7" s="27">
        <v>0.00703125</v>
      </c>
      <c r="J7" s="28">
        <f>(G7-H7)/I7</f>
        <v>0.6377777778</v>
      </c>
      <c r="K7" s="12"/>
      <c r="L7" s="16"/>
      <c r="M7" s="16"/>
      <c r="N7" s="16"/>
      <c r="O7" s="16"/>
      <c r="P7" s="16"/>
    </row>
    <row r="8">
      <c r="B8" s="29"/>
      <c r="E8" s="30"/>
    </row>
    <row r="9">
      <c r="B9" s="29"/>
      <c r="E9" s="30"/>
      <c r="H9" s="31"/>
    </row>
    <row r="10">
      <c r="B10" s="29"/>
      <c r="E10" s="30"/>
      <c r="G10" s="32"/>
      <c r="H10" s="33" t="s">
        <v>8</v>
      </c>
      <c r="I10" s="34"/>
    </row>
    <row r="11">
      <c r="B11" s="29"/>
      <c r="E11" s="30"/>
      <c r="G11" s="35" t="s">
        <v>9</v>
      </c>
      <c r="H11" s="36" t="s">
        <v>10</v>
      </c>
      <c r="I11" s="37" t="s">
        <v>11</v>
      </c>
    </row>
    <row r="12">
      <c r="B12" s="29"/>
      <c r="E12" s="30"/>
      <c r="G12" s="35" t="s">
        <v>12</v>
      </c>
      <c r="H12" s="38">
        <v>0.638</v>
      </c>
      <c r="I12" s="39">
        <v>0.638</v>
      </c>
    </row>
    <row r="13">
      <c r="B13" s="29"/>
      <c r="E13" s="30"/>
      <c r="G13" s="35" t="s">
        <v>13</v>
      </c>
      <c r="H13" s="16">
        <v>0.638</v>
      </c>
      <c r="I13" s="40">
        <v>0.638</v>
      </c>
    </row>
    <row r="14">
      <c r="B14" s="29"/>
      <c r="E14" s="30"/>
      <c r="G14" s="35" t="s">
        <v>14</v>
      </c>
      <c r="H14" s="16">
        <v>0.638</v>
      </c>
      <c r="I14" s="40">
        <v>0.78</v>
      </c>
    </row>
    <row r="15">
      <c r="B15" s="29"/>
      <c r="E15" s="30"/>
      <c r="G15" s="35" t="s">
        <v>15</v>
      </c>
      <c r="H15" s="38">
        <v>0.496</v>
      </c>
      <c r="I15" s="39">
        <v>0.496</v>
      </c>
    </row>
    <row r="16">
      <c r="B16" s="29"/>
      <c r="E16" s="30"/>
      <c r="G16" s="41" t="s">
        <v>16</v>
      </c>
      <c r="H16" s="14">
        <v>0.78</v>
      </c>
      <c r="I16" s="15">
        <v>0.78</v>
      </c>
    </row>
    <row r="17">
      <c r="B17" s="29"/>
      <c r="E17" s="30"/>
    </row>
    <row r="18">
      <c r="B18" s="29"/>
      <c r="E18" s="30"/>
    </row>
    <row r="19">
      <c r="B19" s="29"/>
      <c r="E19" s="30"/>
    </row>
    <row r="20">
      <c r="B20" s="29"/>
      <c r="E20" s="30"/>
    </row>
    <row r="21">
      <c r="B21" s="29"/>
      <c r="E21" s="30"/>
    </row>
    <row r="22">
      <c r="B22" s="29"/>
      <c r="E22" s="30"/>
    </row>
    <row r="23">
      <c r="B23" s="29"/>
      <c r="E23" s="30"/>
    </row>
    <row r="24">
      <c r="B24" s="42"/>
      <c r="C24" s="43"/>
      <c r="D24" s="43"/>
      <c r="E24" s="44"/>
    </row>
  </sheetData>
  <mergeCells count="3">
    <mergeCell ref="B2:E2"/>
    <mergeCell ref="G5:J5"/>
    <mergeCell ref="H10:I10"/>
  </mergeCells>
  <drawing r:id="rId1"/>
</worksheet>
</file>